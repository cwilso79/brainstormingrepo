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oodys-my.sharepoint.com/personal/wilsonc1_moodys_com/Documents/"/>
    </mc:Choice>
  </mc:AlternateContent>
  <xr:revisionPtr revIDLastSave="0" documentId="8_{361B3C68-6460-4A24-AB25-71435842F593}" xr6:coauthVersionLast="47" xr6:coauthVersionMax="47" xr10:uidLastSave="{00000000-0000-0000-0000-000000000000}"/>
  <bookViews>
    <workbookView xWindow="-108" yWindow="-108" windowWidth="30936" windowHeight="16776" tabRatio="654" xr2:uid="{4E5884D0-1434-49DC-8B82-A4685BE37633}"/>
  </bookViews>
  <sheets>
    <sheet name="Pricing Attributes" sheetId="2" r:id="rId1"/>
    <sheet name="PPT Slid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2" l="1"/>
  <c r="N23" i="2"/>
  <c r="N24" i="2"/>
  <c r="N25" i="2"/>
  <c r="N26" i="2"/>
  <c r="N21" i="2"/>
  <c r="M22" i="2"/>
  <c r="M23" i="2"/>
  <c r="M24" i="2"/>
  <c r="M25" i="2"/>
  <c r="M26" i="2"/>
  <c r="M21" i="2"/>
  <c r="L22" i="2"/>
  <c r="L23" i="2"/>
  <c r="L24" i="2"/>
  <c r="L25" i="2"/>
  <c r="L26" i="2"/>
  <c r="L21" i="2"/>
  <c r="N14" i="2"/>
  <c r="N15" i="2"/>
  <c r="N16" i="2"/>
  <c r="N17" i="2"/>
  <c r="N18" i="2"/>
  <c r="N13" i="2"/>
  <c r="M14" i="2"/>
  <c r="M15" i="2"/>
  <c r="M16" i="2"/>
  <c r="M17" i="2"/>
  <c r="M18" i="2"/>
  <c r="M13" i="2"/>
  <c r="L14" i="2"/>
  <c r="L15" i="2"/>
  <c r="L16" i="2"/>
  <c r="L17" i="2"/>
  <c r="L18" i="2"/>
  <c r="L13" i="2"/>
  <c r="N6" i="2"/>
  <c r="N7" i="2"/>
  <c r="N8" i="2"/>
  <c r="N9" i="2"/>
  <c r="N10" i="2"/>
  <c r="N5" i="2"/>
  <c r="M6" i="2"/>
  <c r="M7" i="2"/>
  <c r="M8" i="2"/>
  <c r="M9" i="2"/>
  <c r="M10" i="2"/>
  <c r="M5" i="2"/>
  <c r="L6" i="2"/>
  <c r="L7" i="2"/>
  <c r="L8" i="2"/>
  <c r="L9" i="2"/>
  <c r="L10" i="2"/>
  <c r="L5" i="2"/>
  <c r="F5" i="2"/>
  <c r="F6" i="2"/>
  <c r="F7" i="2"/>
  <c r="F8" i="2"/>
  <c r="F9" i="2"/>
  <c r="F10" i="2"/>
  <c r="F13" i="2"/>
  <c r="F14" i="2"/>
  <c r="F15" i="2"/>
  <c r="F16" i="2"/>
  <c r="F17" i="2"/>
  <c r="F18" i="2"/>
  <c r="F21" i="2"/>
  <c r="F22" i="2"/>
  <c r="F23" i="2"/>
  <c r="F24" i="2"/>
  <c r="F25" i="2"/>
  <c r="F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tc={CF2685F0-8B3E-4EE1-B082-904A23643A57}</author>
    <author>Wilson, Craig</author>
  </authors>
  <commentList>
    <comment ref="S13" authorId="0" shapeId="0" xr:uid="{CF2685F0-8B3E-4EE1-B082-904A23643A5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@Michelle Ruggiero (Moody's)  - FYI I’ve updated the calculator to include some suggested data feed attributes and multipliers. Can you please discuss with Beau and Kathryn Calligaro to discuss if these are relevant/appropriate/doable? And adjust as necessary</t>
      </text>
    </comment>
    <comment ref="V16" authorId="1" shapeId="0" xr:uid="{6D261C66-0248-46E7-A588-9E033C3EEBAA}">
      <text>
        <r>
          <rPr>
            <b/>
            <sz val="9"/>
            <color indexed="81"/>
            <rFont val="Tahoma"/>
            <family val="2"/>
          </rPr>
          <t>Wilson, Craig:</t>
        </r>
        <r>
          <rPr>
            <sz val="9"/>
            <color indexed="81"/>
            <rFont val="Tahoma"/>
            <family val="2"/>
          </rPr>
          <t xml:space="preserve">
Internal research and analysis only, no integration, delete data on expiry.</t>
        </r>
      </text>
    </comment>
    <comment ref="V17" authorId="1" shapeId="0" xr:uid="{B99D16A5-5881-43CB-80C2-0A789E88408F}">
      <text>
        <r>
          <rPr>
            <b/>
            <sz val="9"/>
            <color indexed="81"/>
            <rFont val="Tahoma"/>
            <family val="2"/>
          </rPr>
          <t>Wilson, Craig:</t>
        </r>
        <r>
          <rPr>
            <sz val="9"/>
            <color indexed="81"/>
            <rFont val="Tahoma"/>
            <family val="2"/>
          </rPr>
          <t xml:space="preserve">
May integrate into secure internal systems (e.g., network or case management tools), but no automated decisioning.</t>
        </r>
      </text>
    </comment>
    <comment ref="V18" authorId="1" shapeId="0" xr:uid="{0A259C00-E968-454F-8BE7-9A5A81B25F19}">
      <text>
        <r>
          <rPr>
            <b/>
            <sz val="9"/>
            <color indexed="81"/>
            <rFont val="Tahoma"/>
            <family val="2"/>
          </rPr>
          <t>Wilson, Craig:</t>
        </r>
        <r>
          <rPr>
            <sz val="9"/>
            <color indexed="81"/>
            <rFont val="Tahoma"/>
            <family val="2"/>
          </rPr>
          <t xml:space="preserve">
Can fuse with classified datasets or use in automated intelligence systems; retain internally but not redistribute.</t>
        </r>
      </text>
    </comment>
  </commentList>
</comments>
</file>

<file path=xl/sharedStrings.xml><?xml version="1.0" encoding="utf-8"?>
<sst xmlns="http://schemas.openxmlformats.org/spreadsheetml/2006/main" count="215" uniqueCount="126">
  <si>
    <t>Intelligence</t>
  </si>
  <si>
    <t>Investigations</t>
  </si>
  <si>
    <t>Supply Chain</t>
  </si>
  <si>
    <t>Use Case</t>
  </si>
  <si>
    <t>User Band</t>
  </si>
  <si>
    <t>1-2</t>
  </si>
  <si>
    <t>3-5</t>
  </si>
  <si>
    <t>6-10</t>
  </si>
  <si>
    <t>Add-On</t>
  </si>
  <si>
    <t>Standard</t>
  </si>
  <si>
    <t>11-14</t>
  </si>
  <si>
    <t>15-19</t>
  </si>
  <si>
    <t>*Supply Chain Only</t>
  </si>
  <si>
    <t>Additional Use Cases</t>
  </si>
  <si>
    <t>Price</t>
  </si>
  <si>
    <t>Multiplier</t>
  </si>
  <si>
    <t>Region Attribute</t>
  </si>
  <si>
    <t>Delivery Method Attribute</t>
  </si>
  <si>
    <t>Entity Volume Attribute*</t>
  </si>
  <si>
    <t>Web/UI</t>
  </si>
  <si>
    <t>&lt;10K entities</t>
  </si>
  <si>
    <t>Plus</t>
  </si>
  <si>
    <t>API (Direct Integration)</t>
  </si>
  <si>
    <t>10K-50K</t>
  </si>
  <si>
    <t>Premium</t>
  </si>
  <si>
    <t>Hybrid (UI + API)</t>
  </si>
  <si>
    <t>50K-250K</t>
  </si>
  <si>
    <t>250K-1M+</t>
  </si>
  <si>
    <t>20+</t>
  </si>
  <si>
    <t>Add-On Package</t>
  </si>
  <si>
    <t>North America</t>
  </si>
  <si>
    <t>West/North Europe</t>
  </si>
  <si>
    <t>East/South Europe</t>
  </si>
  <si>
    <t>North Asia &amp; Oceania</t>
  </si>
  <si>
    <t>South Asia</t>
  </si>
  <si>
    <t>Base Only</t>
  </si>
  <si>
    <t>South America &amp; Africa</t>
  </si>
  <si>
    <t>Middle East</t>
  </si>
  <si>
    <t>Not Applicable</t>
  </si>
  <si>
    <t>Base + Standard</t>
  </si>
  <si>
    <t>Base + Plus</t>
  </si>
  <si>
    <t>Base + Premium</t>
  </si>
  <si>
    <t>Data Feed Attributes</t>
  </si>
  <si>
    <t>Use Case Baseline Fee</t>
  </si>
  <si>
    <t>Usage Rights</t>
  </si>
  <si>
    <t>Internal Analytics</t>
  </si>
  <si>
    <t>Operational Integration</t>
  </si>
  <si>
    <t>Classified Fusion</t>
  </si>
  <si>
    <t>Scope</t>
  </si>
  <si>
    <t>Regional</t>
  </si>
  <si>
    <t>Global</t>
  </si>
  <si>
    <t>Refresh Frequency</t>
  </si>
  <si>
    <t>Annual</t>
  </si>
  <si>
    <t>Quarterly</t>
  </si>
  <si>
    <t>Monthly</t>
  </si>
  <si>
    <t>Data Feed</t>
  </si>
  <si>
    <t>Agency Type</t>
  </si>
  <si>
    <t>State</t>
  </si>
  <si>
    <t>Local</t>
  </si>
  <si>
    <t>Federal/Central</t>
  </si>
  <si>
    <t>ON HOLD</t>
  </si>
  <si>
    <t>Intelligence1</t>
  </si>
  <si>
    <t>Intelligence2</t>
  </si>
  <si>
    <t>Intelligence3</t>
  </si>
  <si>
    <t>Intelligence4</t>
  </si>
  <si>
    <t>Intelligence5</t>
  </si>
  <si>
    <t>Intelligence6</t>
  </si>
  <si>
    <t>Intelligence7</t>
  </si>
  <si>
    <t>Intelligence8</t>
  </si>
  <si>
    <t>Intelligence9</t>
  </si>
  <si>
    <t>Intelligence10</t>
  </si>
  <si>
    <t>Intelligence11</t>
  </si>
  <si>
    <t>Intelligence12</t>
  </si>
  <si>
    <t>Intelligence13</t>
  </si>
  <si>
    <t>Intelligence14</t>
  </si>
  <si>
    <t>Intelligence15</t>
  </si>
  <si>
    <t>Intelligence16</t>
  </si>
  <si>
    <t>Intelligence17</t>
  </si>
  <si>
    <t>Intelligence18</t>
  </si>
  <si>
    <t>Intelligence19</t>
  </si>
  <si>
    <t>Intelligence20</t>
  </si>
  <si>
    <t>Investigations1</t>
  </si>
  <si>
    <t>Investigations2</t>
  </si>
  <si>
    <t>Investigations3</t>
  </si>
  <si>
    <t>Investigations4</t>
  </si>
  <si>
    <t>Investigations5</t>
  </si>
  <si>
    <t>Investigations6</t>
  </si>
  <si>
    <t>Investigations7</t>
  </si>
  <si>
    <t>Investigations8</t>
  </si>
  <si>
    <t>Investigations9</t>
  </si>
  <si>
    <t>Investigations10</t>
  </si>
  <si>
    <t>Investigations11</t>
  </si>
  <si>
    <t>Investigations12</t>
  </si>
  <si>
    <t>Investigations13</t>
  </si>
  <si>
    <t>Investigations14</t>
  </si>
  <si>
    <t>Investigations15</t>
  </si>
  <si>
    <t>Investigations16</t>
  </si>
  <si>
    <t>Investigations17</t>
  </si>
  <si>
    <t>Investigations18</t>
  </si>
  <si>
    <t>Investigations19</t>
  </si>
  <si>
    <t>Investigations20</t>
  </si>
  <si>
    <t>Supply Chain1</t>
  </si>
  <si>
    <t>Supply Chain2</t>
  </si>
  <si>
    <t>Supply Chain3</t>
  </si>
  <si>
    <t>Supply Chain4</t>
  </si>
  <si>
    <t>Supply Chain5</t>
  </si>
  <si>
    <t>Supply Chain6</t>
  </si>
  <si>
    <t>Supply Chain7</t>
  </si>
  <si>
    <t>Supply Chain8</t>
  </si>
  <si>
    <t>Supply Chain9</t>
  </si>
  <si>
    <t>Supply Chain10</t>
  </si>
  <si>
    <t>Supply Chain11</t>
  </si>
  <si>
    <t>Supply Chain12</t>
  </si>
  <si>
    <t>Supply Chain13</t>
  </si>
  <si>
    <t>Supply Chain14</t>
  </si>
  <si>
    <t>Supply Chain15</t>
  </si>
  <si>
    <t>Supply Chain16</t>
  </si>
  <si>
    <t>Supply Chain17</t>
  </si>
  <si>
    <t>Supply Chain18</t>
  </si>
  <si>
    <t>Supply Chain19</t>
  </si>
  <si>
    <t>Supply Chain20</t>
  </si>
  <si>
    <t>Intelligence Use Case</t>
  </si>
  <si>
    <t>Investigations Use Case</t>
  </si>
  <si>
    <t>Add-On Packages Pricing</t>
  </si>
  <si>
    <t>Supply Chain Use Case</t>
  </si>
  <si>
    <r>
      <t xml:space="preserve">Base Offering Includes:
</t>
    </r>
    <r>
      <rPr>
        <b/>
        <sz val="11"/>
        <color theme="0"/>
        <rFont val="Aptos Narrow"/>
        <family val="2"/>
        <scheme val="minor"/>
      </rPr>
      <t>Orbis Global, BFO, Orbis T-Rank, GRID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</si>
</sst>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6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1" applyFont="1"/>
    <xf numFmtId="167" fontId="0" fillId="0" borderId="0" xfId="2" applyNumberFormat="1" applyFont="1"/>
    <xf numFmtId="0" fontId="0" fillId="4" borderId="0" xfId="0" applyFill="1" applyAlignment="1">
      <alignment vertical="center"/>
    </xf>
    <xf numFmtId="49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0" fontId="6" fillId="0" borderId="0" xfId="0" applyFont="1" applyAlignment="1">
      <alignment horizontal="center" vertical="center"/>
    </xf>
    <xf numFmtId="166" fontId="0" fillId="0" borderId="0" xfId="0" applyNumberFormat="1"/>
    <xf numFmtId="166" fontId="0" fillId="0" borderId="0" xfId="1" applyFont="1" applyFill="1"/>
    <xf numFmtId="1" fontId="0" fillId="0" borderId="0" xfId="0" applyNumberFormat="1"/>
    <xf numFmtId="2" fontId="4" fillId="0" borderId="0" xfId="0" applyNumberFormat="1" applyFont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0" xfId="0" applyFill="1"/>
    <xf numFmtId="166" fontId="0" fillId="7" borderId="0" xfId="0" applyNumberFormat="1" applyFill="1"/>
    <xf numFmtId="0" fontId="2" fillId="8" borderId="0" xfId="0" applyFont="1" applyFill="1"/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8" borderId="10" xfId="0" applyFont="1" applyFill="1" applyBorder="1" applyAlignment="1">
      <alignment horizontal="center"/>
    </xf>
    <xf numFmtId="167" fontId="0" fillId="0" borderId="0" xfId="2" applyNumberFormat="1" applyFont="1" applyFill="1"/>
    <xf numFmtId="167" fontId="0" fillId="0" borderId="0" xfId="2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1C82A051-8FC9-448A-B99B-9E575D2A2A2F}">
    <Anchor>
      <Comment id="{CF2685F0-8B3E-4EE1-B082-904A23643A57}"/>
    </Anchor>
    <History>
      <Event time="2025-10-21T10:28:15.85" id="{12D2BBA8-1F28-4484-861F-23E1AE178078}">
        <Attribution userId="S::wilsonc1@moodys.com::2ac6dede-9c04-41b6-8bd6-2415a4d0cae1" userName="Craig Wilson (Moody's)" userProvider="AD"/>
        <Anchor>
          <Comment id="{CF2685F0-8B3E-4EE1-B082-904A23643A57}"/>
        </Anchor>
        <Create/>
      </Event>
      <Event time="2025-10-21T10:28:15.85" id="{F6F61930-6DD7-4B71-B33B-84E31E127CB9}">
        <Attribution userId="S::wilsonc1@moodys.com::2ac6dede-9c04-41b6-8bd6-2415a4d0cae1" userName="Craig Wilson (Moody's)" userProvider="AD"/>
        <Anchor>
          <Comment id="{CF2685F0-8B3E-4EE1-B082-904A23643A57}"/>
        </Anchor>
        <Assign userId="S::RuggierM@moodys.com::3270cf20-20d4-4af6-89de-1e74937426df" userName="Michelle Ruggiero (Moody's)" userProvider="AD"/>
      </Event>
      <Event time="2025-10-21T10:28:15.85" id="{6DA99BD0-7D07-4275-B7AA-CF7F858B07C2}">
        <Attribution userId="S::wilsonc1@moodys.com::2ac6dede-9c04-41b6-8bd6-2415a4d0cae1" userName="Craig Wilson (Moody's)" userProvider="AD"/>
        <Anchor>
          <Comment id="{CF2685F0-8B3E-4EE1-B082-904A23643A57}"/>
        </Anchor>
        <SetTitle title="@Michelle Ruggiero (Moody's) - FYI I’ve updated the calculator to include some suggested data feed attributes and multipliers. Can you please discuss with Beau and Kathryn Calligaro to discuss if these are relevant/appropriate/doable? And adjust as…"/>
      </Event>
    </History>
  </Task>
</Task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14</xdr:col>
      <xdr:colOff>142875</xdr:colOff>
      <xdr:row>24</xdr:row>
      <xdr:rowOff>156566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C79FC52-0E84-4052-8E4E-740106CDC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190499"/>
          <a:ext cx="8067675" cy="453806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28</xdr:col>
      <xdr:colOff>186267</xdr:colOff>
      <xdr:row>24</xdr:row>
      <xdr:rowOff>180975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0661BE6-3679-9460-8395-75F6695A9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44000" y="190500"/>
          <a:ext cx="8111067" cy="45624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1</xdr:rowOff>
    </xdr:from>
    <xdr:to>
      <xdr:col>14</xdr:col>
      <xdr:colOff>135468</xdr:colOff>
      <xdr:row>50</xdr:row>
      <xdr:rowOff>152401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B97195E-EF7B-6577-6603-5DCC007A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9601" y="5143501"/>
          <a:ext cx="8060267" cy="45339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28</xdr:col>
      <xdr:colOff>237065</xdr:colOff>
      <xdr:row>50</xdr:row>
      <xdr:rowOff>19049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53060DE-9EC9-2A50-BF9E-B0439C3B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144000" y="4953000"/>
          <a:ext cx="8161865" cy="45910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elle Ruggiero (Moody's)" id="{4C0681F7-9B37-4B41-BAB2-E7B4324883AB}" userId="RuggierM@moodys.com" providerId="PeoplePicker"/>
  <person displayName="Craig Wilson (Moody's)" id="{205636B1-A0BE-410C-ACD2-4993D24765EC}" userId="S::wilsonc1@moodys.com::2ac6dede-9c04-41b6-8bd6-2415a4d0ca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3" dT="2025-10-21T10:28:15.85" personId="{205636B1-A0BE-410C-ACD2-4993D24765EC}" id="{CF2685F0-8B3E-4EE1-B082-904A23643A57}">
    <text>@Michelle Ruggiero (Moody's)  - FYI I’ve updated the calculator to include some suggested data feed attributes and multipliers. Can you please discuss with Beau and Kathryn Calligaro to discuss if these are relevant/appropriate/doable? And adjust as necessary</text>
    <mentions>
      <mention mentionpersonId="{4C0681F7-9B37-4B41-BAB2-E7B4324883AB}" mentionId="{DFC82EDA-6DEB-431F-8B7B-D2B5A5A125C9}" startIndex="0" length="2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D841-BAED-4663-8426-DD8EA1DAD262}">
  <dimension ref="B1:AC95"/>
  <sheetViews>
    <sheetView tabSelected="1" zoomScale="110" zoomScaleNormal="110" workbookViewId="0">
      <selection activeCell="S29" sqref="S29"/>
    </sheetView>
  </sheetViews>
  <sheetFormatPr defaultRowHeight="14.4" x14ac:dyDescent="0.3"/>
  <cols>
    <col min="1" max="1" width="3.33203125" customWidth="1"/>
    <col min="2" max="2" width="13.44140625" hidden="1" customWidth="1"/>
    <col min="3" max="3" width="10" hidden="1" customWidth="1"/>
    <col min="4" max="4" width="13.6640625" hidden="1" customWidth="1"/>
    <col min="5" max="5" width="20.33203125" hidden="1" customWidth="1"/>
    <col min="6" max="6" width="18.33203125" hidden="1" customWidth="1"/>
    <col min="7" max="9" width="14.5546875" customWidth="1"/>
    <col min="10" max="10" width="3.33203125" customWidth="1"/>
    <col min="11" max="11" width="13.44140625" customWidth="1"/>
    <col min="12" max="13" width="9" bestFit="1" customWidth="1"/>
    <col min="14" max="14" width="12.44140625" customWidth="1"/>
    <col min="15" max="15" width="3.33203125" customWidth="1"/>
    <col min="16" max="16" width="15.5546875" hidden="1" customWidth="1"/>
    <col min="17" max="17" width="9.6640625" hidden="1" customWidth="1"/>
    <col min="18" max="18" width="3.33203125" hidden="1" customWidth="1"/>
    <col min="19" max="19" width="21.6640625" bestFit="1" customWidth="1"/>
    <col min="20" max="20" width="9.6640625" customWidth="1"/>
    <col min="21" max="21" width="3.33203125" customWidth="1"/>
    <col min="22" max="22" width="24.6640625" bestFit="1" customWidth="1"/>
    <col min="23" max="23" width="9.6640625" bestFit="1" customWidth="1"/>
    <col min="24" max="24" width="3.33203125" customWidth="1"/>
    <col min="25" max="25" width="23.44140625" bestFit="1" customWidth="1"/>
    <col min="26" max="26" width="9.6640625" customWidth="1"/>
    <col min="27" max="27" width="3.33203125" customWidth="1"/>
    <col min="28" max="28" width="18.33203125" bestFit="1" customWidth="1"/>
    <col min="29" max="29" width="9.6640625" bestFit="1" customWidth="1"/>
    <col min="30" max="30" width="3.33203125" customWidth="1"/>
  </cols>
  <sheetData>
    <row r="1" spans="2:29" ht="15" customHeight="1" x14ac:dyDescent="0.3">
      <c r="G1" s="39" t="s">
        <v>125</v>
      </c>
      <c r="H1" s="40"/>
      <c r="I1" s="40"/>
      <c r="K1" s="34" t="s">
        <v>123</v>
      </c>
      <c r="L1" s="34"/>
      <c r="M1" s="34"/>
      <c r="N1" s="34"/>
      <c r="Y1" s="12" t="s">
        <v>12</v>
      </c>
    </row>
    <row r="2" spans="2:29" x14ac:dyDescent="0.3">
      <c r="G2" s="41"/>
      <c r="H2" s="41"/>
      <c r="I2" s="41"/>
      <c r="K2" s="27"/>
      <c r="L2" s="27"/>
      <c r="M2" s="27"/>
      <c r="N2" s="27"/>
      <c r="P2" s="2" t="s">
        <v>29</v>
      </c>
      <c r="Q2" s="2" t="s">
        <v>15</v>
      </c>
      <c r="S2" s="2" t="s">
        <v>16</v>
      </c>
      <c r="T2" s="2" t="s">
        <v>15</v>
      </c>
      <c r="V2" s="2" t="s">
        <v>17</v>
      </c>
      <c r="W2" s="2" t="s">
        <v>15</v>
      </c>
      <c r="Y2" s="2" t="s">
        <v>18</v>
      </c>
      <c r="Z2" s="2" t="s">
        <v>15</v>
      </c>
      <c r="AB2" s="2" t="s">
        <v>56</v>
      </c>
      <c r="AC2" s="2" t="s">
        <v>15</v>
      </c>
    </row>
    <row r="3" spans="2:29" x14ac:dyDescent="0.3">
      <c r="G3" s="27"/>
      <c r="H3" s="27"/>
      <c r="I3" s="27"/>
      <c r="K3" s="33" t="s">
        <v>121</v>
      </c>
      <c r="L3" s="33"/>
      <c r="M3" s="33"/>
      <c r="N3" s="33"/>
      <c r="P3" s="24" t="s">
        <v>35</v>
      </c>
      <c r="Q3" s="25">
        <v>1</v>
      </c>
      <c r="S3" t="s">
        <v>32</v>
      </c>
      <c r="T3" s="13">
        <v>0.8</v>
      </c>
      <c r="V3" t="s">
        <v>19</v>
      </c>
      <c r="W3" s="16">
        <v>1</v>
      </c>
      <c r="Y3" t="s">
        <v>38</v>
      </c>
      <c r="Z3">
        <v>1</v>
      </c>
      <c r="AB3" t="s">
        <v>59</v>
      </c>
      <c r="AC3" s="4">
        <v>1</v>
      </c>
    </row>
    <row r="4" spans="2:29" x14ac:dyDescent="0.3">
      <c r="B4" s="2" t="s">
        <v>3</v>
      </c>
      <c r="C4" s="2" t="s">
        <v>4</v>
      </c>
      <c r="D4" s="2" t="s">
        <v>8</v>
      </c>
      <c r="E4" s="2" t="s">
        <v>13</v>
      </c>
      <c r="G4" s="26" t="s">
        <v>3</v>
      </c>
      <c r="H4" s="26" t="s">
        <v>4</v>
      </c>
      <c r="I4" s="26" t="s">
        <v>14</v>
      </c>
      <c r="K4" s="30" t="s">
        <v>4</v>
      </c>
      <c r="L4" s="30" t="s">
        <v>9</v>
      </c>
      <c r="M4" s="30" t="s">
        <v>21</v>
      </c>
      <c r="N4" s="30" t="s">
        <v>24</v>
      </c>
      <c r="P4" t="s">
        <v>39</v>
      </c>
      <c r="Q4" s="6">
        <v>1.1499999999999999</v>
      </c>
      <c r="S4" t="s">
        <v>37</v>
      </c>
      <c r="T4" s="13">
        <v>0.9</v>
      </c>
      <c r="V4" t="s">
        <v>22</v>
      </c>
      <c r="W4" s="16">
        <v>1.2</v>
      </c>
      <c r="Y4" t="s">
        <v>20</v>
      </c>
      <c r="Z4" s="16">
        <v>0.9</v>
      </c>
      <c r="AB4" t="s">
        <v>57</v>
      </c>
      <c r="AC4" s="4">
        <v>0.8</v>
      </c>
    </row>
    <row r="5" spans="2:29" x14ac:dyDescent="0.3">
      <c r="B5" t="s">
        <v>0</v>
      </c>
      <c r="C5" s="3" t="s">
        <v>5</v>
      </c>
      <c r="D5" t="s">
        <v>35</v>
      </c>
      <c r="E5" t="s">
        <v>0</v>
      </c>
      <c r="F5" t="str">
        <f>G5&amp;H5</f>
        <v>Intelligence1-2</v>
      </c>
      <c r="G5" s="1" t="s">
        <v>0</v>
      </c>
      <c r="H5" s="3" t="s">
        <v>5</v>
      </c>
      <c r="I5" s="5">
        <v>125000</v>
      </c>
      <c r="K5" s="28" t="s">
        <v>5</v>
      </c>
      <c r="L5" s="7">
        <f>I5*0.15</f>
        <v>18750</v>
      </c>
      <c r="M5" s="7">
        <f>I5*0.3</f>
        <v>37500</v>
      </c>
      <c r="N5" s="7">
        <f>I5*0.65</f>
        <v>81250</v>
      </c>
      <c r="P5" t="s">
        <v>40</v>
      </c>
      <c r="Q5" s="6">
        <v>1.3</v>
      </c>
      <c r="S5" t="s">
        <v>30</v>
      </c>
      <c r="T5" s="14">
        <v>1</v>
      </c>
      <c r="V5" t="s">
        <v>25</v>
      </c>
      <c r="W5" s="16">
        <v>1.1499999999999999</v>
      </c>
      <c r="Y5" t="s">
        <v>23</v>
      </c>
      <c r="Z5" s="16">
        <v>1</v>
      </c>
      <c r="AB5" t="s">
        <v>58</v>
      </c>
      <c r="AC5" s="4">
        <v>0.7</v>
      </c>
    </row>
    <row r="6" spans="2:29" x14ac:dyDescent="0.3">
      <c r="B6" t="s">
        <v>1</v>
      </c>
      <c r="C6" s="3" t="s">
        <v>6</v>
      </c>
      <c r="D6" t="s">
        <v>9</v>
      </c>
      <c r="E6" t="s">
        <v>1</v>
      </c>
      <c r="F6" t="str">
        <f t="shared" ref="F6:F26" si="0">G6&amp;H6</f>
        <v>Intelligence3-5</v>
      </c>
      <c r="G6" s="1" t="s">
        <v>0</v>
      </c>
      <c r="H6" s="3" t="s">
        <v>6</v>
      </c>
      <c r="I6" s="5">
        <v>118750</v>
      </c>
      <c r="K6" s="28" t="s">
        <v>6</v>
      </c>
      <c r="L6" s="7">
        <f t="shared" ref="L6:L10" si="1">I6*0.15</f>
        <v>17812.5</v>
      </c>
      <c r="M6" s="7">
        <f t="shared" ref="M6:M10" si="2">I6*0.3</f>
        <v>35625</v>
      </c>
      <c r="N6" s="7">
        <f t="shared" ref="N6:N10" si="3">I6*0.65</f>
        <v>77187.5</v>
      </c>
      <c r="P6" t="s">
        <v>41</v>
      </c>
      <c r="Q6" s="6">
        <v>1.65</v>
      </c>
      <c r="S6" t="s">
        <v>33</v>
      </c>
      <c r="T6" s="14">
        <v>0.9</v>
      </c>
      <c r="V6" t="s">
        <v>55</v>
      </c>
      <c r="W6">
        <v>1.35</v>
      </c>
      <c r="Y6" t="s">
        <v>26</v>
      </c>
      <c r="Z6" s="16">
        <v>1.2</v>
      </c>
    </row>
    <row r="7" spans="2:29" x14ac:dyDescent="0.3">
      <c r="B7" t="s">
        <v>2</v>
      </c>
      <c r="C7" s="3" t="s">
        <v>7</v>
      </c>
      <c r="D7" t="s">
        <v>21</v>
      </c>
      <c r="E7" t="s">
        <v>2</v>
      </c>
      <c r="F7" t="str">
        <f t="shared" si="0"/>
        <v>Intelligence6-10</v>
      </c>
      <c r="G7" s="1" t="s">
        <v>0</v>
      </c>
      <c r="H7" s="3" t="s">
        <v>7</v>
      </c>
      <c r="I7" s="5">
        <v>112800</v>
      </c>
      <c r="K7" s="28" t="s">
        <v>7</v>
      </c>
      <c r="L7" s="7">
        <f t="shared" si="1"/>
        <v>16920</v>
      </c>
      <c r="M7" s="7">
        <f t="shared" si="2"/>
        <v>33840</v>
      </c>
      <c r="N7" s="7">
        <f t="shared" si="3"/>
        <v>73320</v>
      </c>
      <c r="S7" t="s">
        <v>36</v>
      </c>
      <c r="T7" s="13">
        <v>0.7</v>
      </c>
      <c r="Y7" t="s">
        <v>27</v>
      </c>
      <c r="Z7" s="16">
        <v>1.3</v>
      </c>
    </row>
    <row r="8" spans="2:29" x14ac:dyDescent="0.3">
      <c r="C8" s="3" t="s">
        <v>10</v>
      </c>
      <c r="D8" t="s">
        <v>24</v>
      </c>
      <c r="F8" t="str">
        <f t="shared" si="0"/>
        <v>Intelligence11-14</v>
      </c>
      <c r="G8" s="1" t="s">
        <v>0</v>
      </c>
      <c r="H8" s="3" t="s">
        <v>10</v>
      </c>
      <c r="I8" s="5">
        <v>101500</v>
      </c>
      <c r="K8" s="28" t="s">
        <v>10</v>
      </c>
      <c r="L8" s="7">
        <f t="shared" si="1"/>
        <v>15225</v>
      </c>
      <c r="M8" s="7">
        <f t="shared" si="2"/>
        <v>30450</v>
      </c>
      <c r="N8" s="7">
        <f t="shared" si="3"/>
        <v>65975</v>
      </c>
      <c r="S8" t="s">
        <v>34</v>
      </c>
      <c r="T8" s="14">
        <v>0.7</v>
      </c>
    </row>
    <row r="9" spans="2:29" x14ac:dyDescent="0.3">
      <c r="C9" s="4" t="s">
        <v>11</v>
      </c>
      <c r="F9" t="str">
        <f t="shared" si="0"/>
        <v>Intelligence15-19</v>
      </c>
      <c r="G9" s="1" t="s">
        <v>0</v>
      </c>
      <c r="H9" s="4" t="s">
        <v>11</v>
      </c>
      <c r="I9" s="5">
        <v>86300</v>
      </c>
      <c r="K9" s="29" t="s">
        <v>11</v>
      </c>
      <c r="L9" s="7">
        <f t="shared" si="1"/>
        <v>12945</v>
      </c>
      <c r="M9" s="7">
        <f t="shared" si="2"/>
        <v>25890</v>
      </c>
      <c r="N9" s="7">
        <f t="shared" si="3"/>
        <v>56095</v>
      </c>
      <c r="S9" t="s">
        <v>31</v>
      </c>
      <c r="T9" s="13">
        <v>1</v>
      </c>
    </row>
    <row r="10" spans="2:29" x14ac:dyDescent="0.3">
      <c r="C10" s="4" t="s">
        <v>28</v>
      </c>
      <c r="F10" t="str">
        <f t="shared" si="0"/>
        <v>Intelligence20+</v>
      </c>
      <c r="G10" s="1" t="s">
        <v>0</v>
      </c>
      <c r="H10" s="4" t="s">
        <v>28</v>
      </c>
      <c r="I10" s="5">
        <v>70000</v>
      </c>
      <c r="K10" s="29" t="s">
        <v>28</v>
      </c>
      <c r="L10" s="7">
        <f t="shared" si="1"/>
        <v>10500</v>
      </c>
      <c r="M10" s="7">
        <f t="shared" si="2"/>
        <v>21000</v>
      </c>
      <c r="N10" s="7">
        <f t="shared" si="3"/>
        <v>45500</v>
      </c>
    </row>
    <row r="11" spans="2:29" x14ac:dyDescent="0.3">
      <c r="C11" s="4"/>
      <c r="G11" s="1"/>
      <c r="H11" s="4"/>
      <c r="I11" s="5"/>
      <c r="K11" s="33" t="s">
        <v>122</v>
      </c>
      <c r="L11" s="33"/>
      <c r="M11" s="33"/>
      <c r="N11" s="33"/>
    </row>
    <row r="12" spans="2:29" x14ac:dyDescent="0.3">
      <c r="C12" s="4"/>
      <c r="G12" s="26" t="s">
        <v>3</v>
      </c>
      <c r="H12" s="26" t="s">
        <v>4</v>
      </c>
      <c r="I12" s="26" t="s">
        <v>14</v>
      </c>
      <c r="K12" s="30" t="s">
        <v>4</v>
      </c>
      <c r="L12" s="30" t="s">
        <v>9</v>
      </c>
      <c r="M12" s="30" t="s">
        <v>21</v>
      </c>
      <c r="N12" s="30" t="s">
        <v>24</v>
      </c>
    </row>
    <row r="13" spans="2:29" ht="15" thickBot="1" x14ac:dyDescent="0.35">
      <c r="F13" t="str">
        <f t="shared" si="0"/>
        <v>Investigations1-2</v>
      </c>
      <c r="G13" s="8" t="s">
        <v>1</v>
      </c>
      <c r="H13" s="9" t="s">
        <v>5</v>
      </c>
      <c r="I13" s="10">
        <v>100000</v>
      </c>
      <c r="K13" s="28" t="s">
        <v>5</v>
      </c>
      <c r="L13" s="31">
        <f>I13*0.15</f>
        <v>15000</v>
      </c>
      <c r="M13" s="31">
        <f>I13*0.3</f>
        <v>30000</v>
      </c>
      <c r="N13" s="32">
        <f>I13*0.65</f>
        <v>65000</v>
      </c>
      <c r="S13" s="35" t="s">
        <v>42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2:29" x14ac:dyDescent="0.3">
      <c r="F14" t="str">
        <f t="shared" si="0"/>
        <v>Investigations3-5</v>
      </c>
      <c r="G14" s="8" t="s">
        <v>1</v>
      </c>
      <c r="H14" s="9" t="s">
        <v>6</v>
      </c>
      <c r="I14" s="10">
        <v>95000</v>
      </c>
      <c r="K14" s="28" t="s">
        <v>6</v>
      </c>
      <c r="L14" s="31">
        <f t="shared" ref="L14:L18" si="4">I14*0.15</f>
        <v>14250</v>
      </c>
      <c r="M14" s="31">
        <f t="shared" ref="M14:M18" si="5">I14*0.3</f>
        <v>28500</v>
      </c>
      <c r="N14" s="32">
        <f t="shared" ref="N14:N18" si="6">I14*0.65</f>
        <v>61750</v>
      </c>
      <c r="S14" s="36" t="s">
        <v>60</v>
      </c>
      <c r="T14" s="37"/>
      <c r="U14" s="37"/>
      <c r="V14" s="37"/>
      <c r="W14" s="37"/>
      <c r="X14" s="37"/>
      <c r="Y14" s="37"/>
      <c r="Z14" s="37"/>
      <c r="AA14" s="37"/>
      <c r="AB14" s="37"/>
      <c r="AC14" s="38"/>
    </row>
    <row r="15" spans="2:29" x14ac:dyDescent="0.3">
      <c r="F15" t="str">
        <f t="shared" si="0"/>
        <v>Investigations6-10</v>
      </c>
      <c r="G15" s="8" t="s">
        <v>1</v>
      </c>
      <c r="H15" s="9" t="s">
        <v>7</v>
      </c>
      <c r="I15" s="10">
        <v>90250</v>
      </c>
      <c r="K15" s="28" t="s">
        <v>7</v>
      </c>
      <c r="L15" s="31">
        <f t="shared" si="4"/>
        <v>13537.5</v>
      </c>
      <c r="M15" s="31">
        <f t="shared" si="5"/>
        <v>27075</v>
      </c>
      <c r="N15" s="32">
        <f t="shared" si="6"/>
        <v>58662.5</v>
      </c>
      <c r="S15" s="17" t="s">
        <v>43</v>
      </c>
      <c r="T15" s="2" t="s">
        <v>15</v>
      </c>
      <c r="V15" s="2" t="s">
        <v>44</v>
      </c>
      <c r="W15" s="2" t="s">
        <v>15</v>
      </c>
      <c r="Y15" s="2" t="s">
        <v>48</v>
      </c>
      <c r="Z15" s="2" t="s">
        <v>15</v>
      </c>
      <c r="AB15" s="2" t="s">
        <v>51</v>
      </c>
      <c r="AC15" s="18" t="s">
        <v>15</v>
      </c>
    </row>
    <row r="16" spans="2:29" x14ac:dyDescent="0.3">
      <c r="F16" t="str">
        <f t="shared" si="0"/>
        <v>Investigations11-14</v>
      </c>
      <c r="G16" s="8" t="s">
        <v>1</v>
      </c>
      <c r="H16" s="9" t="s">
        <v>10</v>
      </c>
      <c r="I16" s="10">
        <v>81200</v>
      </c>
      <c r="K16" s="28" t="s">
        <v>10</v>
      </c>
      <c r="L16" s="31">
        <f t="shared" si="4"/>
        <v>12180</v>
      </c>
      <c r="M16" s="31">
        <f t="shared" si="5"/>
        <v>24360</v>
      </c>
      <c r="N16" s="32">
        <f t="shared" si="6"/>
        <v>52780</v>
      </c>
      <c r="S16" s="19" t="s">
        <v>0</v>
      </c>
      <c r="T16">
        <v>125000</v>
      </c>
      <c r="V16" t="s">
        <v>45</v>
      </c>
      <c r="W16">
        <v>1</v>
      </c>
      <c r="Y16" t="s">
        <v>49</v>
      </c>
      <c r="Z16">
        <v>1</v>
      </c>
      <c r="AB16" t="s">
        <v>52</v>
      </c>
      <c r="AC16" s="20">
        <v>1</v>
      </c>
    </row>
    <row r="17" spans="6:29" x14ac:dyDescent="0.3">
      <c r="F17" t="str">
        <f t="shared" si="0"/>
        <v>Investigations15-19</v>
      </c>
      <c r="G17" s="8" t="s">
        <v>1</v>
      </c>
      <c r="H17" s="11" t="s">
        <v>11</v>
      </c>
      <c r="I17" s="10">
        <v>69000</v>
      </c>
      <c r="K17" s="29" t="s">
        <v>11</v>
      </c>
      <c r="L17" s="31">
        <f t="shared" si="4"/>
        <v>10350</v>
      </c>
      <c r="M17" s="31">
        <f t="shared" si="5"/>
        <v>20700</v>
      </c>
      <c r="N17" s="32">
        <f t="shared" si="6"/>
        <v>44850</v>
      </c>
      <c r="S17" s="19" t="s">
        <v>1</v>
      </c>
      <c r="T17">
        <v>100000</v>
      </c>
      <c r="V17" t="s">
        <v>46</v>
      </c>
      <c r="W17">
        <v>1.8</v>
      </c>
      <c r="Y17" t="s">
        <v>50</v>
      </c>
      <c r="Z17">
        <v>2</v>
      </c>
      <c r="AB17" t="s">
        <v>53</v>
      </c>
      <c r="AC17" s="20">
        <v>1.5</v>
      </c>
    </row>
    <row r="18" spans="6:29" ht="15" thickBot="1" x14ac:dyDescent="0.35">
      <c r="F18" t="str">
        <f t="shared" si="0"/>
        <v>Investigations20+</v>
      </c>
      <c r="G18" s="8" t="s">
        <v>1</v>
      </c>
      <c r="H18" s="11" t="s">
        <v>28</v>
      </c>
      <c r="I18" s="10">
        <v>56000</v>
      </c>
      <c r="K18" s="29" t="s">
        <v>28</v>
      </c>
      <c r="L18" s="31">
        <f t="shared" si="4"/>
        <v>8400</v>
      </c>
      <c r="M18" s="31">
        <f t="shared" si="5"/>
        <v>16800</v>
      </c>
      <c r="N18" s="32">
        <f t="shared" si="6"/>
        <v>36400</v>
      </c>
      <c r="S18" s="21" t="s">
        <v>2</v>
      </c>
      <c r="T18" s="22">
        <v>75000</v>
      </c>
      <c r="U18" s="22"/>
      <c r="V18" s="22" t="s">
        <v>47</v>
      </c>
      <c r="W18" s="22">
        <v>2.5</v>
      </c>
      <c r="X18" s="22"/>
      <c r="Y18" s="22"/>
      <c r="Z18" s="22"/>
      <c r="AA18" s="22"/>
      <c r="AB18" s="22" t="s">
        <v>54</v>
      </c>
      <c r="AC18" s="23">
        <v>2.5</v>
      </c>
    </row>
    <row r="19" spans="6:29" x14ac:dyDescent="0.3">
      <c r="G19" s="1"/>
      <c r="H19" s="4"/>
      <c r="I19" s="5"/>
      <c r="K19" s="33" t="s">
        <v>124</v>
      </c>
      <c r="L19" s="33"/>
      <c r="M19" s="33"/>
      <c r="N19" s="33"/>
    </row>
    <row r="20" spans="6:29" x14ac:dyDescent="0.3">
      <c r="G20" s="26" t="s">
        <v>3</v>
      </c>
      <c r="H20" s="26" t="s">
        <v>4</v>
      </c>
      <c r="I20" s="26" t="s">
        <v>14</v>
      </c>
      <c r="K20" s="30" t="s">
        <v>4</v>
      </c>
      <c r="L20" s="30" t="s">
        <v>9</v>
      </c>
      <c r="M20" s="30" t="s">
        <v>21</v>
      </c>
      <c r="N20" s="30" t="s">
        <v>24</v>
      </c>
    </row>
    <row r="21" spans="6:29" x14ac:dyDescent="0.3">
      <c r="F21" t="str">
        <f t="shared" si="0"/>
        <v>Supply Chain1-2</v>
      </c>
      <c r="G21" s="1" t="s">
        <v>2</v>
      </c>
      <c r="H21" s="3" t="s">
        <v>5</v>
      </c>
      <c r="I21" s="5">
        <v>75000</v>
      </c>
      <c r="K21" s="28" t="s">
        <v>5</v>
      </c>
      <c r="L21" s="7">
        <f>I21*0.15</f>
        <v>11250</v>
      </c>
      <c r="M21" s="7">
        <f>I21*0.3</f>
        <v>22500</v>
      </c>
      <c r="N21" s="7">
        <f>I21*0.65</f>
        <v>48750</v>
      </c>
    </row>
    <row r="22" spans="6:29" x14ac:dyDescent="0.3">
      <c r="F22" t="str">
        <f t="shared" si="0"/>
        <v>Supply Chain3-5</v>
      </c>
      <c r="G22" s="1" t="s">
        <v>2</v>
      </c>
      <c r="H22" s="3" t="s">
        <v>6</v>
      </c>
      <c r="I22" s="5">
        <v>71250</v>
      </c>
      <c r="K22" s="28" t="s">
        <v>6</v>
      </c>
      <c r="L22" s="7">
        <f t="shared" ref="L22:L26" si="7">I22*0.15</f>
        <v>10687.5</v>
      </c>
      <c r="M22" s="7">
        <f t="shared" ref="M22:M26" si="8">I22*0.3</f>
        <v>21375</v>
      </c>
      <c r="N22" s="7">
        <f t="shared" ref="N22:N26" si="9">I22*0.65</f>
        <v>46312.5</v>
      </c>
    </row>
    <row r="23" spans="6:29" x14ac:dyDescent="0.3">
      <c r="F23" t="str">
        <f t="shared" si="0"/>
        <v>Supply Chain6-10</v>
      </c>
      <c r="G23" s="1" t="s">
        <v>2</v>
      </c>
      <c r="H23" s="3" t="s">
        <v>7</v>
      </c>
      <c r="I23" s="5">
        <v>67700</v>
      </c>
      <c r="K23" s="28" t="s">
        <v>7</v>
      </c>
      <c r="L23" s="7">
        <f t="shared" si="7"/>
        <v>10155</v>
      </c>
      <c r="M23" s="7">
        <f t="shared" si="8"/>
        <v>20310</v>
      </c>
      <c r="N23" s="7">
        <f t="shared" si="9"/>
        <v>44005</v>
      </c>
      <c r="P23" s="1"/>
    </row>
    <row r="24" spans="6:29" x14ac:dyDescent="0.3">
      <c r="F24" t="str">
        <f t="shared" si="0"/>
        <v>Supply Chain11-14</v>
      </c>
      <c r="G24" s="1" t="s">
        <v>2</v>
      </c>
      <c r="H24" s="3" t="s">
        <v>10</v>
      </c>
      <c r="I24" s="5">
        <v>60900</v>
      </c>
      <c r="K24" s="28" t="s">
        <v>10</v>
      </c>
      <c r="L24" s="7">
        <f t="shared" si="7"/>
        <v>9135</v>
      </c>
      <c r="M24" s="7">
        <f t="shared" si="8"/>
        <v>18270</v>
      </c>
      <c r="N24" s="7">
        <f t="shared" si="9"/>
        <v>39585</v>
      </c>
    </row>
    <row r="25" spans="6:29" x14ac:dyDescent="0.3">
      <c r="F25" t="str">
        <f t="shared" si="0"/>
        <v>Supply Chain15-19</v>
      </c>
      <c r="G25" s="1" t="s">
        <v>2</v>
      </c>
      <c r="H25" s="4" t="s">
        <v>11</v>
      </c>
      <c r="I25" s="5">
        <v>51800</v>
      </c>
      <c r="K25" s="29" t="s">
        <v>11</v>
      </c>
      <c r="L25" s="7">
        <f t="shared" si="7"/>
        <v>7770</v>
      </c>
      <c r="M25" s="7">
        <f t="shared" si="8"/>
        <v>15540</v>
      </c>
      <c r="N25" s="7">
        <f t="shared" si="9"/>
        <v>33670</v>
      </c>
    </row>
    <row r="26" spans="6:29" x14ac:dyDescent="0.3">
      <c r="F26" t="str">
        <f t="shared" si="0"/>
        <v>Supply Chain20+</v>
      </c>
      <c r="G26" s="1" t="s">
        <v>2</v>
      </c>
      <c r="H26" s="4" t="s">
        <v>28</v>
      </c>
      <c r="I26" s="5">
        <v>42000</v>
      </c>
      <c r="K26" s="29" t="s">
        <v>28</v>
      </c>
      <c r="L26" s="7">
        <f t="shared" si="7"/>
        <v>6300</v>
      </c>
      <c r="M26" s="7">
        <f t="shared" si="8"/>
        <v>12600</v>
      </c>
      <c r="N26" s="7">
        <f t="shared" si="9"/>
        <v>27300</v>
      </c>
    </row>
    <row r="30" spans="6:29" hidden="1" x14ac:dyDescent="0.3">
      <c r="F30" t="s">
        <v>61</v>
      </c>
    </row>
    <row r="31" spans="6:29" hidden="1" x14ac:dyDescent="0.3">
      <c r="F31" t="s">
        <v>62</v>
      </c>
    </row>
    <row r="32" spans="6:29" hidden="1" x14ac:dyDescent="0.3">
      <c r="F32" t="s">
        <v>63</v>
      </c>
    </row>
    <row r="33" spans="6:7" hidden="1" x14ac:dyDescent="0.3">
      <c r="F33" t="s">
        <v>64</v>
      </c>
    </row>
    <row r="34" spans="6:7" hidden="1" x14ac:dyDescent="0.3">
      <c r="F34" t="s">
        <v>65</v>
      </c>
    </row>
    <row r="35" spans="6:7" hidden="1" x14ac:dyDescent="0.3">
      <c r="F35" t="s">
        <v>66</v>
      </c>
      <c r="G35" s="15">
        <v>125000</v>
      </c>
    </row>
    <row r="36" spans="6:7" hidden="1" x14ac:dyDescent="0.3">
      <c r="F36" t="s">
        <v>67</v>
      </c>
      <c r="G36" s="15">
        <v>125000</v>
      </c>
    </row>
    <row r="37" spans="6:7" hidden="1" x14ac:dyDescent="0.3">
      <c r="F37" t="s">
        <v>68</v>
      </c>
      <c r="G37" s="15">
        <v>118750</v>
      </c>
    </row>
    <row r="38" spans="6:7" hidden="1" x14ac:dyDescent="0.3">
      <c r="F38" t="s">
        <v>69</v>
      </c>
      <c r="G38" s="15">
        <v>118750</v>
      </c>
    </row>
    <row r="39" spans="6:7" hidden="1" x14ac:dyDescent="0.3">
      <c r="F39" t="s">
        <v>70</v>
      </c>
      <c r="G39" s="15">
        <v>118750</v>
      </c>
    </row>
    <row r="40" spans="6:7" hidden="1" x14ac:dyDescent="0.3">
      <c r="F40" t="s">
        <v>71</v>
      </c>
      <c r="G40">
        <v>112800</v>
      </c>
    </row>
    <row r="41" spans="6:7" hidden="1" x14ac:dyDescent="0.3">
      <c r="F41" t="s">
        <v>72</v>
      </c>
      <c r="G41">
        <v>112800</v>
      </c>
    </row>
    <row r="42" spans="6:7" hidden="1" x14ac:dyDescent="0.3">
      <c r="F42" t="s">
        <v>73</v>
      </c>
      <c r="G42">
        <v>112800</v>
      </c>
    </row>
    <row r="43" spans="6:7" hidden="1" x14ac:dyDescent="0.3">
      <c r="F43" t="s">
        <v>74</v>
      </c>
      <c r="G43">
        <v>112800</v>
      </c>
    </row>
    <row r="44" spans="6:7" hidden="1" x14ac:dyDescent="0.3">
      <c r="F44" t="s">
        <v>75</v>
      </c>
      <c r="G44">
        <v>112800</v>
      </c>
    </row>
    <row r="45" spans="6:7" hidden="1" x14ac:dyDescent="0.3">
      <c r="F45" t="s">
        <v>76</v>
      </c>
      <c r="G45">
        <v>101500</v>
      </c>
    </row>
    <row r="46" spans="6:7" hidden="1" x14ac:dyDescent="0.3">
      <c r="F46" t="s">
        <v>77</v>
      </c>
      <c r="G46">
        <v>101500</v>
      </c>
    </row>
    <row r="47" spans="6:7" hidden="1" x14ac:dyDescent="0.3">
      <c r="F47" t="s">
        <v>78</v>
      </c>
      <c r="G47">
        <v>101500</v>
      </c>
    </row>
    <row r="48" spans="6:7" hidden="1" x14ac:dyDescent="0.3">
      <c r="F48" t="s">
        <v>79</v>
      </c>
      <c r="G48">
        <v>101500</v>
      </c>
    </row>
    <row r="49" spans="6:16" hidden="1" x14ac:dyDescent="0.3">
      <c r="F49" t="s">
        <v>80</v>
      </c>
      <c r="G49">
        <v>86300</v>
      </c>
    </row>
    <row r="50" spans="6:16" hidden="1" x14ac:dyDescent="0.3">
      <c r="F50" s="15" t="s">
        <v>81</v>
      </c>
      <c r="G50">
        <v>86300</v>
      </c>
    </row>
    <row r="51" spans="6:16" hidden="1" x14ac:dyDescent="0.3">
      <c r="F51" s="15" t="s">
        <v>82</v>
      </c>
      <c r="G51">
        <v>86300</v>
      </c>
      <c r="O51" s="15"/>
      <c r="P51" s="15"/>
    </row>
    <row r="52" spans="6:16" hidden="1" x14ac:dyDescent="0.3">
      <c r="F52" s="15" t="s">
        <v>83</v>
      </c>
      <c r="G52">
        <v>86300</v>
      </c>
    </row>
    <row r="53" spans="6:16" hidden="1" x14ac:dyDescent="0.3">
      <c r="F53" s="15" t="s">
        <v>84</v>
      </c>
      <c r="G53">
        <v>86300</v>
      </c>
    </row>
    <row r="54" spans="6:16" hidden="1" x14ac:dyDescent="0.3">
      <c r="F54" s="15" t="s">
        <v>85</v>
      </c>
      <c r="G54">
        <v>70000</v>
      </c>
    </row>
    <row r="55" spans="6:16" hidden="1" x14ac:dyDescent="0.3">
      <c r="F55" s="15" t="s">
        <v>86</v>
      </c>
      <c r="G55">
        <v>100000</v>
      </c>
    </row>
    <row r="56" spans="6:16" hidden="1" x14ac:dyDescent="0.3">
      <c r="F56" s="15" t="s">
        <v>87</v>
      </c>
      <c r="G56">
        <v>100000</v>
      </c>
      <c r="J56" s="15"/>
      <c r="K56" s="15"/>
      <c r="L56" s="15"/>
      <c r="M56" s="15"/>
      <c r="N56" s="15"/>
    </row>
    <row r="57" spans="6:16" hidden="1" x14ac:dyDescent="0.3">
      <c r="F57" s="15" t="s">
        <v>88</v>
      </c>
      <c r="G57">
        <v>95000</v>
      </c>
      <c r="H57" s="15"/>
      <c r="I57" s="15"/>
    </row>
    <row r="58" spans="6:16" hidden="1" x14ac:dyDescent="0.3">
      <c r="F58" s="15" t="s">
        <v>89</v>
      </c>
      <c r="G58">
        <v>95000</v>
      </c>
    </row>
    <row r="59" spans="6:16" hidden="1" x14ac:dyDescent="0.3">
      <c r="F59" s="15" t="s">
        <v>90</v>
      </c>
      <c r="G59">
        <v>95000</v>
      </c>
    </row>
    <row r="60" spans="6:16" hidden="1" x14ac:dyDescent="0.3">
      <c r="F60" s="15" t="s">
        <v>91</v>
      </c>
      <c r="G60">
        <v>90250</v>
      </c>
    </row>
    <row r="61" spans="6:16" hidden="1" x14ac:dyDescent="0.3">
      <c r="F61" s="15" t="s">
        <v>92</v>
      </c>
      <c r="G61">
        <v>90250</v>
      </c>
    </row>
    <row r="62" spans="6:16" hidden="1" x14ac:dyDescent="0.3">
      <c r="F62" s="15" t="s">
        <v>93</v>
      </c>
      <c r="G62">
        <v>90250</v>
      </c>
    </row>
    <row r="63" spans="6:16" hidden="1" x14ac:dyDescent="0.3">
      <c r="F63" s="15" t="s">
        <v>94</v>
      </c>
      <c r="G63">
        <v>90250</v>
      </c>
    </row>
    <row r="64" spans="6:16" hidden="1" x14ac:dyDescent="0.3">
      <c r="F64" s="15" t="s">
        <v>95</v>
      </c>
      <c r="G64">
        <v>90250</v>
      </c>
    </row>
    <row r="65" spans="6:7" hidden="1" x14ac:dyDescent="0.3">
      <c r="F65" s="15" t="s">
        <v>96</v>
      </c>
      <c r="G65">
        <v>81200</v>
      </c>
    </row>
    <row r="66" spans="6:7" hidden="1" x14ac:dyDescent="0.3">
      <c r="F66" s="15" t="s">
        <v>97</v>
      </c>
      <c r="G66">
        <v>81200</v>
      </c>
    </row>
    <row r="67" spans="6:7" hidden="1" x14ac:dyDescent="0.3">
      <c r="F67" s="15" t="s">
        <v>98</v>
      </c>
      <c r="G67">
        <v>81200</v>
      </c>
    </row>
    <row r="68" spans="6:7" hidden="1" x14ac:dyDescent="0.3">
      <c r="F68" s="15" t="s">
        <v>99</v>
      </c>
      <c r="G68">
        <v>81200</v>
      </c>
    </row>
    <row r="69" spans="6:7" hidden="1" x14ac:dyDescent="0.3">
      <c r="F69" s="15" t="s">
        <v>100</v>
      </c>
      <c r="G69">
        <v>69000</v>
      </c>
    </row>
    <row r="70" spans="6:7" hidden="1" x14ac:dyDescent="0.3">
      <c r="F70" t="s">
        <v>101</v>
      </c>
      <c r="G70">
        <v>69000</v>
      </c>
    </row>
    <row r="71" spans="6:7" hidden="1" x14ac:dyDescent="0.3">
      <c r="F71" t="s">
        <v>102</v>
      </c>
      <c r="G71">
        <v>69000</v>
      </c>
    </row>
    <row r="72" spans="6:7" hidden="1" x14ac:dyDescent="0.3">
      <c r="F72" t="s">
        <v>103</v>
      </c>
      <c r="G72">
        <v>69000</v>
      </c>
    </row>
    <row r="73" spans="6:7" hidden="1" x14ac:dyDescent="0.3">
      <c r="F73" t="s">
        <v>104</v>
      </c>
      <c r="G73">
        <v>69000</v>
      </c>
    </row>
    <row r="74" spans="6:7" hidden="1" x14ac:dyDescent="0.3">
      <c r="F74" t="s">
        <v>105</v>
      </c>
      <c r="G74">
        <v>56000</v>
      </c>
    </row>
    <row r="75" spans="6:7" hidden="1" x14ac:dyDescent="0.3">
      <c r="F75" t="s">
        <v>106</v>
      </c>
      <c r="G75">
        <v>75000</v>
      </c>
    </row>
    <row r="76" spans="6:7" hidden="1" x14ac:dyDescent="0.3">
      <c r="F76" t="s">
        <v>107</v>
      </c>
      <c r="G76">
        <v>75000</v>
      </c>
    </row>
    <row r="77" spans="6:7" hidden="1" x14ac:dyDescent="0.3">
      <c r="F77" t="s">
        <v>108</v>
      </c>
      <c r="G77">
        <v>71250</v>
      </c>
    </row>
    <row r="78" spans="6:7" hidden="1" x14ac:dyDescent="0.3">
      <c r="F78" t="s">
        <v>109</v>
      </c>
      <c r="G78">
        <v>71250</v>
      </c>
    </row>
    <row r="79" spans="6:7" hidden="1" x14ac:dyDescent="0.3">
      <c r="F79" t="s">
        <v>110</v>
      </c>
      <c r="G79">
        <v>71250</v>
      </c>
    </row>
    <row r="80" spans="6:7" hidden="1" x14ac:dyDescent="0.3">
      <c r="F80" t="s">
        <v>111</v>
      </c>
      <c r="G80">
        <v>67700</v>
      </c>
    </row>
    <row r="81" spans="6:7" hidden="1" x14ac:dyDescent="0.3">
      <c r="F81" t="s">
        <v>112</v>
      </c>
      <c r="G81">
        <v>67700</v>
      </c>
    </row>
    <row r="82" spans="6:7" hidden="1" x14ac:dyDescent="0.3">
      <c r="F82" t="s">
        <v>113</v>
      </c>
      <c r="G82">
        <v>67700</v>
      </c>
    </row>
    <row r="83" spans="6:7" hidden="1" x14ac:dyDescent="0.3">
      <c r="F83" t="s">
        <v>114</v>
      </c>
      <c r="G83">
        <v>67700</v>
      </c>
    </row>
    <row r="84" spans="6:7" hidden="1" x14ac:dyDescent="0.3">
      <c r="F84" t="s">
        <v>115</v>
      </c>
      <c r="G84">
        <v>67700</v>
      </c>
    </row>
    <row r="85" spans="6:7" hidden="1" x14ac:dyDescent="0.3">
      <c r="F85" t="s">
        <v>116</v>
      </c>
      <c r="G85">
        <v>60900</v>
      </c>
    </row>
    <row r="86" spans="6:7" hidden="1" x14ac:dyDescent="0.3">
      <c r="F86" t="s">
        <v>117</v>
      </c>
      <c r="G86">
        <v>60900</v>
      </c>
    </row>
    <row r="87" spans="6:7" hidden="1" x14ac:dyDescent="0.3">
      <c r="F87" t="s">
        <v>118</v>
      </c>
      <c r="G87">
        <v>60900</v>
      </c>
    </row>
    <row r="88" spans="6:7" hidden="1" x14ac:dyDescent="0.3">
      <c r="F88" t="s">
        <v>119</v>
      </c>
      <c r="G88">
        <v>60900</v>
      </c>
    </row>
    <row r="89" spans="6:7" hidden="1" x14ac:dyDescent="0.3">
      <c r="F89" t="s">
        <v>120</v>
      </c>
      <c r="G89">
        <v>51800</v>
      </c>
    </row>
    <row r="90" spans="6:7" hidden="1" x14ac:dyDescent="0.3">
      <c r="G90">
        <v>51800</v>
      </c>
    </row>
    <row r="91" spans="6:7" hidden="1" x14ac:dyDescent="0.3">
      <c r="G91">
        <v>51800</v>
      </c>
    </row>
    <row r="92" spans="6:7" hidden="1" x14ac:dyDescent="0.3">
      <c r="G92">
        <v>51800</v>
      </c>
    </row>
    <row r="93" spans="6:7" hidden="1" x14ac:dyDescent="0.3">
      <c r="G93">
        <v>51800</v>
      </c>
    </row>
    <row r="94" spans="6:7" hidden="1" x14ac:dyDescent="0.3">
      <c r="G94">
        <v>42000</v>
      </c>
    </row>
    <row r="95" spans="6:7" hidden="1" x14ac:dyDescent="0.3"/>
  </sheetData>
  <sortState xmlns:xlrd2="http://schemas.microsoft.com/office/spreadsheetml/2017/richdata2" ref="S3:T9">
    <sortCondition ref="S3:S9"/>
  </sortState>
  <mergeCells count="7">
    <mergeCell ref="K19:N19"/>
    <mergeCell ref="K1:N1"/>
    <mergeCell ref="S13:AC13"/>
    <mergeCell ref="S14:AC14"/>
    <mergeCell ref="G1:I2"/>
    <mergeCell ref="K3:N3"/>
    <mergeCell ref="K11:N11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58A9-2530-4876-88E4-9A6781DB7748}">
  <dimension ref="A1"/>
  <sheetViews>
    <sheetView zoomScaleNormal="100" workbookViewId="0">
      <selection activeCell="O27" sqref="O2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B7F79C5CAF4447A544A4CB585C11E9" ma:contentTypeVersion="7" ma:contentTypeDescription="Create a new document." ma:contentTypeScope="" ma:versionID="247f9ac2a0c45afad6e286b388e146b3">
  <xsd:schema xmlns:xsd="http://www.w3.org/2001/XMLSchema" xmlns:xs="http://www.w3.org/2001/XMLSchema" xmlns:p="http://schemas.microsoft.com/office/2006/metadata/properties" xmlns:ns2="f9e7eae6-6eac-487e-8ee8-4d606641051f" targetNamespace="http://schemas.microsoft.com/office/2006/metadata/properties" ma:root="true" ma:fieldsID="68be3d7a94c60036c51a12cfaf069256" ns2:_="">
    <xsd:import namespace="f9e7eae6-6eac-487e-8ee8-4d6066410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7eae6-6eac-487e-8ee8-4d6066410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A35DBA-61D5-4F2F-8956-B090581E4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e7eae6-6eac-487e-8ee8-4d6066410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8D6430-743E-46FD-9C14-DE24041CF22C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e7eae6-6eac-487e-8ee8-4d606641051f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28747C-B7E9-4DAE-8080-D08079B49B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Attributes</vt:lpstr>
      <vt:lpstr>PPT Slides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Ruggiero (Moody's)</dc:creator>
  <cp:keywords/>
  <dc:description/>
  <cp:lastModifiedBy>Craig Wilson (Moody's)</cp:lastModifiedBy>
  <cp:revision/>
  <dcterms:created xsi:type="dcterms:W3CDTF">2025-10-09T19:44:31Z</dcterms:created>
  <dcterms:modified xsi:type="dcterms:W3CDTF">2026-01-14T10:29:14Z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0x010100DEB7F79C5CAF4447A544A4CB585C11E9</vt:lpwstr>
  </property>
</Properties>
</file>